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ZHARBC\Documents\ocr-ray\monthly_tasks\Exports\"/>
    </mc:Choice>
  </mc:AlternateContent>
  <xr:revisionPtr revIDLastSave="0" documentId="13_ncr:1_{1CBA5CB2-2A73-4412-8DCD-A684733EA8F0}" xr6:coauthVersionLast="45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l_Creator" sheetId="1" r:id="rId1"/>
    <sheet name="Sheet2" sheetId="2" r:id="rId2"/>
  </sheets>
  <definedNames>
    <definedName name="_xlnm._FilterDatabase" localSheetId="0" hidden="1">Mail_Creator!$A$1:$G$36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0" i="1" l="1"/>
  <c r="E29" i="1"/>
  <c r="D29" i="1"/>
  <c r="D14" i="1" l="1"/>
  <c r="D12" i="1"/>
  <c r="D13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34" i="1" l="1"/>
  <c r="D35" i="1"/>
  <c r="D36" i="1"/>
  <c r="D33" i="1"/>
  <c r="D32" i="1"/>
  <c r="D31" i="1"/>
  <c r="D4" i="1"/>
  <c r="D5" i="1"/>
  <c r="D6" i="1"/>
  <c r="D7" i="1"/>
  <c r="D8" i="1"/>
  <c r="D9" i="1"/>
  <c r="D3" i="1"/>
  <c r="D2" i="1"/>
  <c r="L3" i="1" l="1"/>
  <c r="N2" i="1" l="1"/>
  <c r="E30" i="1" l="1"/>
  <c r="E28" i="1"/>
  <c r="M3" i="1"/>
  <c r="D10" i="1" l="1"/>
  <c r="D11" i="1"/>
  <c r="E6" i="1"/>
  <c r="E36" i="1"/>
  <c r="E32" i="1"/>
  <c r="E25" i="1"/>
  <c r="E21" i="1"/>
  <c r="E17" i="1"/>
  <c r="E13" i="1"/>
  <c r="E9" i="1"/>
  <c r="E5" i="1"/>
  <c r="E31" i="1"/>
  <c r="E24" i="1"/>
  <c r="E20" i="1"/>
  <c r="E16" i="1"/>
  <c r="E12" i="1"/>
  <c r="E8" i="1"/>
  <c r="E4" i="1"/>
  <c r="E2" i="1"/>
  <c r="E34" i="1"/>
  <c r="E27" i="1"/>
  <c r="E23" i="1"/>
  <c r="E19" i="1"/>
  <c r="E15" i="1"/>
  <c r="E11" i="1"/>
  <c r="E7" i="1"/>
  <c r="E3" i="1"/>
  <c r="E35" i="1"/>
  <c r="E33" i="1"/>
  <c r="E26" i="1"/>
  <c r="E22" i="1"/>
  <c r="E18" i="1"/>
  <c r="E14" i="1"/>
  <c r="E10" i="1"/>
</calcChain>
</file>

<file path=xl/sharedStrings.xml><?xml version="1.0" encoding="utf-8"?>
<sst xmlns="http://schemas.openxmlformats.org/spreadsheetml/2006/main" count="408" uniqueCount="219">
  <si>
    <t>point</t>
  </si>
  <si>
    <t>to</t>
  </si>
  <si>
    <t>cc</t>
  </si>
  <si>
    <t>attachment</t>
  </si>
  <si>
    <t>subject</t>
  </si>
  <si>
    <t>text</t>
  </si>
  <si>
    <t>Name</t>
  </si>
  <si>
    <t>Reporting Date</t>
  </si>
  <si>
    <t>Drive</t>
  </si>
  <si>
    <t>FX-Split_Redeployment</t>
  </si>
  <si>
    <t>theo.kaufmann@rbinternational.com; stefan.wagner@rbinternational.com</t>
  </si>
  <si>
    <t>matthias.spitzer@rbinternational.com; martin.ulman@rbinternational.com</t>
  </si>
  <si>
    <t>Dear colleagues,
please find attached current RAY data.
BR
CPC</t>
  </si>
  <si>
    <t>send</t>
  </si>
  <si>
    <t>_FX_SPLIT.xlsx</t>
  </si>
  <si>
    <t>_</t>
  </si>
  <si>
    <t>OTC-Netting_Redeployment</t>
  </si>
  <si>
    <t>dorothea.wanek@rbinternational.com</t>
  </si>
  <si>
    <t>_OTC_NETTING.xlsx</t>
  </si>
  <si>
    <t>RBSG_Redeployment</t>
  </si>
  <si>
    <t>carol.ng@sg.rbinternational.com</t>
  </si>
  <si>
    <t>_RBSG.xlsx</t>
  </si>
  <si>
    <t>RLCZ &amp; RLRE_Redeployment</t>
  </si>
  <si>
    <t>tomas.rydl@rl.cz; pavel.pesek@rl.cz; pavel.vachalec@rl.cz; matus.jambor@rl.cz</t>
  </si>
  <si>
    <t>_RLCZ_RLRE.xlsx</t>
  </si>
  <si>
    <t>RBIAG_Redeployment</t>
  </si>
  <si>
    <t>guenter.plachy@rbinternational.com</t>
  </si>
  <si>
    <t>susanne.kroiss@rbinternational.com</t>
  </si>
  <si>
    <t>_RBIAG.xlsx</t>
  </si>
  <si>
    <t>RBIAG-Global-Treasury_Redeployment</t>
  </si>
  <si>
    <t>franz.moldaschl@rbinternational.com</t>
  </si>
  <si>
    <t>_RBIAG_GLOBAL_TREASURY.xlsx</t>
  </si>
  <si>
    <t>REPO_Redeployment</t>
  </si>
  <si>
    <t>tibor.jakubik@rbinternational.com; eugen.visan@rbinternational.com; ana-maria.kramer@rbinternational.com; vitalii.patenko@rbinternational.com; raluca.primetzhofer@rbinternational.com</t>
  </si>
  <si>
    <t>elena.filipidescu@rbinternational.com; annuradha.tandon@rbinternational.com; maxim.alexandrov@rbinternational.com; luisa.lacovara@rbinternational.com</t>
  </si>
  <si>
    <t>_REPO.xlsx</t>
  </si>
  <si>
    <t>FACILITY_Redeployment</t>
  </si>
  <si>
    <t>liquidity.risk@rbinternational.com; alois.dornhofer@rbinternational.com; karin.maska@rbinternational.com; boris.nazim@rbinternational.com; marko.kostic@rbinternational.com; daniela.mikulasova@rbinternational.com</t>
  </si>
  <si>
    <t>_FACILITY.xlsx</t>
  </si>
  <si>
    <t>CVA RBI_Redeployment</t>
  </si>
  <si>
    <t>harald.schandl@rbinternational.com</t>
  </si>
  <si>
    <t>markus.gruber@rbinternational.com; guenter.plachy@rbinternational.com</t>
  </si>
  <si>
    <t>RBI_CVA_</t>
  </si>
  <si>
    <t>CVA RBHR_Redeployment</t>
  </si>
  <si>
    <t>jasmina.skrbin@rba.hr;</t>
  </si>
  <si>
    <t>RBHR_CVA_</t>
  </si>
  <si>
    <t>CVA RBHU_Redeployment</t>
  </si>
  <si>
    <t>tamas.racz@raiffeisen.hu</t>
  </si>
  <si>
    <t>RBHU_CVA_</t>
  </si>
  <si>
    <t>CVA RBPL_Redeployment</t>
  </si>
  <si>
    <t>karolina.cieszynska@raiffeisen.pl</t>
  </si>
  <si>
    <t>CVA RBRO_Redeployment</t>
  </si>
  <si>
    <t>angela.garba@raiffeisen.ro</t>
  </si>
  <si>
    <t>CVA RBRS_Redeployment</t>
  </si>
  <si>
    <t>dragana.miljakovic@raiffeisenbank.rs; boris.vukicevic@raiffeisenbank.rs</t>
  </si>
  <si>
    <t>CVA RBRU_Redeployment</t>
  </si>
  <si>
    <t>RBRU-RWA_Calculation@raiffeisen.ru;</t>
  </si>
  <si>
    <t>CVA RBSG_Redeployment</t>
  </si>
  <si>
    <t>CVA RLBANK_Redeployment</t>
  </si>
  <si>
    <t>wilhelm.karer@rl.co.at; stanka.lochmann@rl.co.at; christoph.angeli@rl.co.at</t>
  </si>
  <si>
    <t>CVA RLNORDIC_Redeployment</t>
  </si>
  <si>
    <t>CVA MOBIX_Redeployment</t>
  </si>
  <si>
    <t>CVA ALEASS_Redeployment</t>
  </si>
  <si>
    <t>CVA IGNIS_Redeployment</t>
  </si>
  <si>
    <t>CVA ARCANA_Redeployment</t>
  </si>
  <si>
    <t>CVA TBSK_Redeployment</t>
  </si>
  <si>
    <t>ivana_popovicova@tatrabanka.sk</t>
  </si>
  <si>
    <t>CVA RBSPK_Redeployment</t>
  </si>
  <si>
    <t>stefan.tik@rbinternational.com</t>
  </si>
  <si>
    <t>CVA RBCZ_Redeployment</t>
  </si>
  <si>
    <t>te</t>
  </si>
  <si>
    <t>CVA AVAL_Redeployment</t>
  </si>
  <si>
    <t>stanislava.dzhygurda@aval.ua</t>
  </si>
  <si>
    <t>CVA CENTRO_Redeployment</t>
  </si>
  <si>
    <t>andreas.adam@rcb.at</t>
  </si>
  <si>
    <t xml:space="preserve">Dear Andreas,
Please find, attached, the current Ray data.
BR   
CPC                                                                                                                                      </t>
  </si>
  <si>
    <t>CVA RLCZ_Redeployment</t>
  </si>
  <si>
    <t xml:space="preserve">Dear colleagues,   
Please find, attached, current RAY data. 
BR, 
CPC </t>
  </si>
  <si>
    <t>RUB, CHF, USD Exposure</t>
  </si>
  <si>
    <t xml:space="preserve">theo.kaufmann@rbinternational.com; </t>
  </si>
  <si>
    <t>simon.spitzer@rbinternational.com; christoph.ilgner@rbinternational.com; martin.ulman@rbinternational.com</t>
  </si>
  <si>
    <t>US &amp; Asia Abbau Overview</t>
  </si>
  <si>
    <t>christoph.hutegger@rbinternational.com</t>
  </si>
  <si>
    <t>Hallo Christoph,
Anbei die aktualisierten Werte für das US und Asia Abbau Portfolio.
lG
Manuel</t>
  </si>
  <si>
    <t>Asia_US_portfolio</t>
  </si>
  <si>
    <t>Neue_Valuetypes</t>
  </si>
  <si>
    <t>guenter.plachy@rbinternational.com; inesa.salkica@rbinternational.com; markus.gruber@rbinternational.com; philipp.gunesch@rbinternational.com; yllka.kadrijaj@rbinternational.com</t>
  </si>
  <si>
    <t>Sehr geehrter Herr Plachy,
Anbei die neuen Werte.
BR
CPC</t>
  </si>
  <si>
    <t>RBI_cons_uncons</t>
  </si>
  <si>
    <t>ECB-Datenfile_Redeployment</t>
  </si>
  <si>
    <t>klaus.bertha@rbinternational.com</t>
  </si>
  <si>
    <t>Dear Klaus,
please find attached file with current RAY data based on ECB Datafile structure.
BR
CPC</t>
  </si>
  <si>
    <t>SME-Factor</t>
  </si>
  <si>
    <t>annuradha.tandon@rbinternational.com</t>
  </si>
  <si>
    <t xml:space="preserve">Liebe Frau Tandon, 
Anbei der Auszug aus dem 31.8.2021 Load auf unkonsolidierter Basis. 
BR 
CPC </t>
  </si>
  <si>
    <t>RZB_CLC_COLLATERAL</t>
  </si>
  <si>
    <t>miroslav_spacek@tatrabanka.sk</t>
  </si>
  <si>
    <t>matthias.spitzer@rbinternational.com; martin.ulman@rbinternational.com; antonio.fernandes-garcia-guimaraes-andrade-silva@rbinternational.com</t>
  </si>
  <si>
    <t>M:\04 RWA PROCESS\042 MONTHLY LOADS\2018\20180831\004 Redeployment\redeployment\20180831_FX_SPLIT.xlsx</t>
  </si>
  <si>
    <t>20180831_FX-Split_Redeployment</t>
  </si>
  <si>
    <t>20180831_</t>
  </si>
  <si>
    <t>M:</t>
  </si>
  <si>
    <t>antonio.fernandes-garcia-guimaraes-andrade-silva@rbinternational.com</t>
  </si>
  <si>
    <t>M:\04 RWA PROCESS\042 MONTHLY LOADS\2018\20180831\004 Redeployment\redeployment\20180831_OTC_NETTING.xlsx</t>
  </si>
  <si>
    <t>20180831_OTC-Netting_Redeployment</t>
  </si>
  <si>
    <t>2018</t>
  </si>
  <si>
    <t>0831</t>
  </si>
  <si>
    <t>M:\04 RWA PROCESS\042 MONTHLY LOADS\2018\20180831\004 Redeployment\redeployment\20180831_RBSG.xlsx</t>
  </si>
  <si>
    <t>20180831_RBSG_Redeployment</t>
  </si>
  <si>
    <t>david.halaska@rl.cz</t>
  </si>
  <si>
    <t>M:\04 RWA PROCESS\042 MONTHLY LOADS\2018\20180831\004 Redeployment\redeployment\20180831_RLCZ_RLRE.xlsx</t>
  </si>
  <si>
    <t>20180831_RLCZ &amp; RLRE_Redeployment</t>
  </si>
  <si>
    <t>susanne.kroiss@rbinternational.com; antonio.fernandes-garcia-guimaraes-andrade-silva@rbinternational.com</t>
  </si>
  <si>
    <t>M:\04 RWA PROCESS\042 MONTHLY LOADS\2018\20180831\004 Redeployment\redeployment\20180831_RBIAG.xlsx</t>
  </si>
  <si>
    <t>20180831_RBIAG_Redeployment</t>
  </si>
  <si>
    <t>M:\04 RWA PROCESS\042 MONTHLY LOADS\2018\20180831\004 Redeployment\redeployment\20180831_RBIAG_GLOBAL_TREASURY.xlsx</t>
  </si>
  <si>
    <t>20180831_RBIAG-Global-Treasury_Redeployment</t>
  </si>
  <si>
    <t>tibor.jakubik@rbinternational.com; eugen.visan@rbinternational.com; ana-maria.kramer@rbinternational.com; vitalii.patenko@rbinternational.com; bernard.jurisic@rbinternational.com; ivan.soldo@rbinternational.com; tudor.bors@rbinternational.com</t>
  </si>
  <si>
    <t>elena.filipidescu@rbinternational.com; annuradha.tandon@rbinternational.com; maxim.alexandrov@rbinternational.com; luisa.lacovara@rbinternational.com; antonio.fernandes-garcia-guimaraes-andrade-silva@rbinternational.com</t>
  </si>
  <si>
    <t>M:\04 RWA PROCESS\042 MONTHLY LOADS\2018\20180831\004 Redeployment\redeployment\20180831_REPO.xlsx</t>
  </si>
  <si>
    <t>20180831_REPO_Redeployment</t>
  </si>
  <si>
    <t>M:\04 RWA PROCESS\042 MONTHLY LOADS\2018\20180831\004 Redeployment\redeployment\20180831_FACILITY.xlsx</t>
  </si>
  <si>
    <t>20180831_FACILITY_Redeployment</t>
  </si>
  <si>
    <t>markus.gruber@rbinternational.com; guenter.plachy@rbinternational.com; antonio.fernandes-garcia-guimaraes-andrade-silva@rbinternational.com</t>
  </si>
  <si>
    <t>M:\04 RWA PROCESS\042 MONTHLY LOADS\2018\20180831\004 Redeployment\redeployment\CVA\RBI_CVA_0831.xlsx</t>
  </si>
  <si>
    <t>20180831_CVA RBI_Redeployment</t>
  </si>
  <si>
    <t>jasmina.skrbin@rba.hr; anita.grgic@rba.hr; martina.mamuzic-gladovic@rba.hr</t>
  </si>
  <si>
    <t>M:\04 RWA PROCESS\042 MONTHLY LOADS\2018\20180831\004 Redeployment\redeployment\CVA\RBHR_CVA_0831.xlsx</t>
  </si>
  <si>
    <t>20180831_CVA RBHR_Redeployment</t>
  </si>
  <si>
    <t>M:\04 RWA PROCESS\042 MONTHLY LOADS\2018\20180831\004 Redeployment\redeployment\CVA\RBHU_CVA_0831.xlsx</t>
  </si>
  <si>
    <t>20180831_CVA RBHU_Redeployment</t>
  </si>
  <si>
    <t>M:\04 RWA PROCESS\042 MONTHLY LOADS\2018\20180831\004 Redeployment\redeployment\CVA\RBPL_CVA_0831.xlsx</t>
  </si>
  <si>
    <t>20180831_CVA RBPL_Redeployment</t>
  </si>
  <si>
    <t>M:\04 RWA PROCESS\042 MONTHLY LOADS\2018\20180831\004 Redeployment\redeployment\CVA\RBRO_CVA_0831.xlsx</t>
  </si>
  <si>
    <t>20180831_CVA RBRO_Redeployment</t>
  </si>
  <si>
    <t>M:\04 RWA PROCESS\042 MONTHLY LOADS\2018\20180831\004 Redeployment\redeployment\CVA\RBRS_CVA_0831.xlsx</t>
  </si>
  <si>
    <t>20180831_CVA RBRS_Redeployment</t>
  </si>
  <si>
    <t>eivanina@raiffeisen.ru</t>
  </si>
  <si>
    <t>M:\04 RWA PROCESS\042 MONTHLY LOADS\2018\20180831\004 Redeployment\redeployment\CVA\RBRU_CVA_0831.xlsx</t>
  </si>
  <si>
    <t>20180831_CVA RBRU_Redeployment</t>
  </si>
  <si>
    <t>M:\04 RWA PROCESS\042 MONTHLY LOADS\2018\20180831\004 Redeployment\redeployment\CVA\RBSG_CVA_0831.xlsx</t>
  </si>
  <si>
    <t>20180831_CVA RBSG_Redeployment</t>
  </si>
  <si>
    <t>M:\04 RWA PROCESS\042 MONTHLY LOADS\2018\20180831\004 Redeployment\redeployment\CVA\RLBANK_CVA_0831.xlsx</t>
  </si>
  <si>
    <t>20180831_CVA RLBANK_Redeployment</t>
  </si>
  <si>
    <t>M:\04 RWA PROCESS\042 MONTHLY LOADS\2018\20180831\004 Redeployment\redeployment\CVA\RLNORDIC_CVA_0831.xlsx</t>
  </si>
  <si>
    <t>20180831_CVA RLNORDIC_Redeployment</t>
  </si>
  <si>
    <t>M:\04 RWA PROCESS\042 MONTHLY LOADS\2018\20180831\004 Redeployment\redeployment\CVA\MOBIX_CVA_0831.xlsx</t>
  </si>
  <si>
    <t>20180831_CVA MOBIX_Redeployment</t>
  </si>
  <si>
    <t>M:\04 RWA PROCESS\042 MONTHLY LOADS\2018\20180831\004 Redeployment\redeployment\CVA\ALEASS_CVA_0831.xlsx</t>
  </si>
  <si>
    <t>20180831_CVA ALEASS_Redeployment</t>
  </si>
  <si>
    <t>M:\04 RWA PROCESS\042 MONTHLY LOADS\2018\20180831\004 Redeployment\redeployment\CVA\IGNIS_CVA_0831.xlsx</t>
  </si>
  <si>
    <t>20180831_CVA IGNIS_Redeployment</t>
  </si>
  <si>
    <t>M:\04 RWA PROCESS\042 MONTHLY LOADS\2018\20180831\004 Redeployment\redeployment\CVA\ARCANA_CVA_0831.xlsx</t>
  </si>
  <si>
    <t>20180831_CVA ARCANA_Redeployment</t>
  </si>
  <si>
    <t>M:\04 RWA PROCESS\042 MONTHLY LOADS\2018\20180831\004 Redeployment\redeployment\CVA\TBSK_CVA_0831.xlsx</t>
  </si>
  <si>
    <t>20180831_CVA TBSK_Redeployment</t>
  </si>
  <si>
    <t>M:\04 RWA PROCESS\042 MONTHLY LOADS\2018\20180831\004 Redeployment\redeployment\CVA\RBSPK_CVA_0831.xlsx</t>
  </si>
  <si>
    <t>20180831_CVA RBSPK_Redeployment</t>
  </si>
  <si>
    <t>marie.bukova@rb.cz</t>
  </si>
  <si>
    <t>M:\04 RWA PROCESS\042 MONTHLY LOADS\2018\20180831\004 Redeployment\redeployment\CVA\RBCZ_CVA_0831.xlsx</t>
  </si>
  <si>
    <t>20180831_CVA RBCZ_Redeployment</t>
  </si>
  <si>
    <t>M:\04 RWA PROCESS\042 MONTHLY LOADS\2018\20180831\004 Redeployment\redeployment\CVA\AVAL_CVA_0831.xlsx</t>
  </si>
  <si>
    <t>20180831_CVA AVAL_Redeployment</t>
  </si>
  <si>
    <t>theo.kaufmann@rbinternational.com; stefan.wagner@rbinternational.com; matthias.spitzer@rbinternational.com</t>
  </si>
  <si>
    <t>simon.spitzer@rbinternational.com; christoph.ilgner@rbinternational.com; martin.ulman@rbinternational.com; antonio.fernandes-garcia-guimaraes-andrade-silva@rbinternational.com</t>
  </si>
  <si>
    <t>M:\04 RWA PROCESS\042 MONTHLY LOADS\2018\20180831\004 Redeployment\redeployment\20180831_Auswertung_RUB_CHF_USD.xlsx</t>
  </si>
  <si>
    <t>20180831_RUB, CHF, USD Exposure</t>
  </si>
  <si>
    <t>M:\04 RWA PROCESS\042 MONTHLY LOADS\2018\20180831\004 Redeployment\redeployment\Asia_US_portfolio.xlsx</t>
  </si>
  <si>
    <t>20180831_US &amp; Asia Abbau Overview</t>
  </si>
  <si>
    <t>guenter.plachy@rbinternational.com; antonio.fernandes-garcia-guimaraes-andrade-silva@rbinternational.com</t>
  </si>
  <si>
    <t>M:\04 RWA PROCESS\042 MONTHLY LOADS\2018\20180831\004 Redeployment\redeployment\RBI_cons_uncons.xlsx</t>
  </si>
  <si>
    <t>20180831_Neue_Valuetypes</t>
  </si>
  <si>
    <t>Sehr geehrter Herr Schandl,
Anbei die neuen Werte.
BR
CPC</t>
  </si>
  <si>
    <t>ferdinand.pavlata@rbinternational.com</t>
  </si>
  <si>
    <t>M:\04 RWA PROCESS\042 MONTHLY LOADS\2018\20180831\004 Redeployment\redeployment\20180831_ECB_Daten.xlsx</t>
  </si>
  <si>
    <t>20180831_ECB-Datenfile_Redeployment</t>
  </si>
  <si>
    <t>Dear Mr. Pavlata,
please find attached file with current RAY data based on ECB Datafile structure.
BR
CPC</t>
  </si>
  <si>
    <t>FI exposure management redeployment</t>
  </si>
  <si>
    <t>maciej.chronowski@rbinternational.com; amir-ali.ameri@rbinternational.com</t>
  </si>
  <si>
    <t>johann.aldrian@rbinternational.com; antonio.fernandes-garcia-guimaraes-andrade-silva@rbinternational.com</t>
  </si>
  <si>
    <t>M:\04 RWA PROCESS\042 MONTHLY LOADS\2018\20180831\004 Redeployment\redeployment\20180831_exposure_mgmt_data.xlsx</t>
  </si>
  <si>
    <t>20180831_FI exposure management redeployment</t>
  </si>
  <si>
    <t>"Dear Mr. Chronowski,
please find attached current RAY data for FI rated group exposure on consolidated level.
BR
CPC</t>
  </si>
  <si>
    <t>Prudent Valuation</t>
  </si>
  <si>
    <t>marin.karaga@rbinternational.com</t>
  </si>
  <si>
    <t>M:\04 RWA PROCESS\042 MONTHLY LOADS\2018\20180831\004 Redeployment\redeployment\20180831_prud_valuation.xlsx</t>
  </si>
  <si>
    <t>20180831_Prudent Valuation</t>
  </si>
  <si>
    <t>Dear Mr. Karaga,
Pls find the latest prudent valuation data!
BR
CPC</t>
  </si>
  <si>
    <t>birgit.niessner@rbinternational.com</t>
  </si>
  <si>
    <t>M:\04 RWA PROCESS\042 MONTHLY LOADS\2018\20180831\004 Redeployment\redeployment\20180831_SME_SUPPORT.xlsx</t>
  </si>
  <si>
    <t>20180831_SME-Factor</t>
  </si>
  <si>
    <t>Liebe Frau Niessner,
Anbei der Auszug aus dem 31.8.2017 Load auf unkonsolidierter Basis.
BR
CPC</t>
  </si>
  <si>
    <t>M:\04 RWA PROCESS\042 MONTHLY LOADS\2018\20180831\004 Redeployment\redeployment\20180831_RZB_CLC_COLLATERAL.xlsx</t>
  </si>
  <si>
    <t>20180831_RZB_CLC_COLLATERAL</t>
  </si>
  <si>
    <t>C:\Users\WZHARBC\Documents\ocr-ray\monthly_tasks\Exports\</t>
  </si>
  <si>
    <t>RBIPL</t>
  </si>
  <si>
    <t>boris.peulic@rbinternational.com</t>
  </si>
  <si>
    <t>RBPL_CVA_1130</t>
  </si>
  <si>
    <t>RBRO_CVA_1130</t>
  </si>
  <si>
    <t>RBRS_CVA_1130</t>
  </si>
  <si>
    <t>RBRU_CVA_1130</t>
  </si>
  <si>
    <t>RBSG_CVA_1130</t>
  </si>
  <si>
    <t>RLBANK_CVA_1130</t>
  </si>
  <si>
    <t>RLNORDIC_CVA_1130</t>
  </si>
  <si>
    <t>MOBIX_CVA_1130</t>
  </si>
  <si>
    <t>ALEASS_CVA_1130</t>
  </si>
  <si>
    <t>IGNIS_CVA_1130</t>
  </si>
  <si>
    <t>ARCANA_CVA_1130</t>
  </si>
  <si>
    <t>TBSK_CVA_1130</t>
  </si>
  <si>
    <t>RBSPK_CVA_1130</t>
  </si>
  <si>
    <t>RBCZ_CVA_1130</t>
  </si>
  <si>
    <t>AVAL_CVA_1130</t>
  </si>
  <si>
    <t>CENTRO_CVA_1130</t>
  </si>
  <si>
    <t>RLCZ_CVA_1130</t>
  </si>
  <si>
    <t>RLBI_CVA_1130</t>
  </si>
  <si>
    <t>20211130_Auswertung_RUB_CHF_USD</t>
  </si>
  <si>
    <t>20211130_ECB_Daten</t>
  </si>
  <si>
    <t>20211130_SME_SUPPORT</t>
  </si>
  <si>
    <t>20211130_RZB_CLC_COLLATERAL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</si>
</sst>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0" fillId="2" borderId="3" xfId="0" applyFill="1" applyBorder="1"/>
    <xf numFmtId="0" fontId="0" fillId="2" borderId="1" xfId="0" applyFill="1" applyBorder="1"/>
    <xf numFmtId="0" fontId="0" fillId="2" borderId="2" xfId="0" applyFill="1" applyBorder="1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3" borderId="0" xfId="0" applyFont="1" applyFill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0" xfId="1" applyAlignment="1">
      <alignment horizontal="left" vertical="top"/>
    </xf>
    <xf numFmtId="0" fontId="0" fillId="5" borderId="0" xfId="0" applyFill="1"/>
    <xf numFmtId="0" fontId="0" fillId="6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0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sanne.kroiss@rbinternationa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6"/>
  <sheetViews>
    <sheetView tabSelected="1" topLeftCell="D13" zoomScale="70" zoomScaleNormal="70" workbookViewId="0">
      <selection activeCell="K33" sqref="K33"/>
    </sheetView>
  </sheetViews>
  <sheetFormatPr defaultColWidth="9.140625" defaultRowHeight="27" customHeight="1" x14ac:dyDescent="0.25"/>
  <cols>
    <col min="1" max="1" width="54.85546875" style="5" customWidth="1"/>
    <col min="2" max="2" width="243" style="5" bestFit="1" customWidth="1"/>
    <col min="3" max="3" width="24.5703125" style="5" customWidth="1"/>
    <col min="4" max="4" width="138.140625" style="5" bestFit="1" customWidth="1"/>
    <col min="5" max="5" width="46.85546875" style="5" bestFit="1" customWidth="1"/>
    <col min="6" max="6" width="60.28515625" style="5" customWidth="1"/>
    <col min="8" max="8" width="9.140625" customWidth="1"/>
    <col min="12" max="12" width="14.42578125" bestFit="1" customWidth="1"/>
    <col min="13" max="13" width="8.7109375" customWidth="1"/>
    <col min="14" max="14" width="10" bestFit="1" customWidth="1"/>
  </cols>
  <sheetData>
    <row r="1" spans="1:15" s="1" customFormat="1" ht="27" customHeight="1" thickBot="1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H1" s="1" t="s">
        <v>6</v>
      </c>
      <c r="L1" s="9" t="s">
        <v>7</v>
      </c>
      <c r="M1" s="10"/>
      <c r="N1" s="10"/>
      <c r="O1" s="11" t="s">
        <v>8</v>
      </c>
    </row>
    <row r="2" spans="1:15" ht="27" customHeight="1" thickBot="1" x14ac:dyDescent="0.3">
      <c r="A2" s="8" t="s">
        <v>9</v>
      </c>
      <c r="B2" s="5" t="s">
        <v>10</v>
      </c>
      <c r="C2" s="5" t="s">
        <v>11</v>
      </c>
      <c r="D2" s="5" t="str">
        <f>$O$2&amp;"004 Redeployment\"&amp;$L$2&amp;H2</f>
        <v>C:\Users\WZHARBC\Documents\ocr-ray\monthly_tasks\Exports\004 Redeployment\20211130_FX_SPLIT.xlsx</v>
      </c>
      <c r="E2" s="5" t="str">
        <f>$N$2&amp;A2</f>
        <v>20211130_FX-Split_Redeployment</v>
      </c>
      <c r="F2" s="6" t="s">
        <v>12</v>
      </c>
      <c r="G2" t="s">
        <v>13</v>
      </c>
      <c r="H2" t="s">
        <v>14</v>
      </c>
      <c r="L2" s="3">
        <v>20211130</v>
      </c>
      <c r="M2" s="4" t="s">
        <v>15</v>
      </c>
      <c r="N2" s="2" t="str">
        <f>L2&amp;M2</f>
        <v>20211130_</v>
      </c>
      <c r="O2" s="12" t="s">
        <v>194</v>
      </c>
    </row>
    <row r="3" spans="1:15" ht="27" customHeight="1" thickBot="1" x14ac:dyDescent="0.3">
      <c r="A3" s="8" t="s">
        <v>16</v>
      </c>
      <c r="B3" s="5" t="s">
        <v>17</v>
      </c>
      <c r="C3" s="16"/>
      <c r="D3" s="5" t="str">
        <f>$O$2&amp;"004 Redeployment\"&amp;$L$2&amp;H3</f>
        <v>C:\Users\WZHARBC\Documents\ocr-ray\monthly_tasks\Exports\004 Redeployment\20211130_OTC_NETTING.xlsx</v>
      </c>
      <c r="E3" s="5" t="str">
        <f t="shared" ref="E3:E27" si="0">$N$2&amp;A3</f>
        <v>20211130_OTC-Netting_Redeployment</v>
      </c>
      <c r="F3" s="6" t="s">
        <v>12</v>
      </c>
      <c r="G3" t="s">
        <v>13</v>
      </c>
      <c r="H3" t="s">
        <v>18</v>
      </c>
      <c r="L3" s="13" t="str">
        <f>LEFT($L$2,4)</f>
        <v>2021</v>
      </c>
      <c r="M3" s="14" t="str">
        <f>RIGHT($L$2,4)</f>
        <v>1130</v>
      </c>
      <c r="N3" s="14"/>
      <c r="O3" s="15"/>
    </row>
    <row r="4" spans="1:15" ht="27" customHeight="1" x14ac:dyDescent="0.25">
      <c r="A4" s="8" t="s">
        <v>19</v>
      </c>
      <c r="B4" s="5" t="s">
        <v>20</v>
      </c>
      <c r="C4" s="16"/>
      <c r="D4" s="5" t="str">
        <f t="shared" ref="D4:D9" si="1">$O$2&amp;"004 Redeployment\"&amp;$L$2&amp;H4</f>
        <v>C:\Users\WZHARBC\Documents\ocr-ray\monthly_tasks\Exports\004 Redeployment\20211130_RBSG.xlsx</v>
      </c>
      <c r="E4" s="5" t="str">
        <f t="shared" si="0"/>
        <v>20211130_RBSG_Redeployment</v>
      </c>
      <c r="F4" s="6" t="s">
        <v>12</v>
      </c>
      <c r="G4" t="s">
        <v>13</v>
      </c>
      <c r="H4" t="s">
        <v>21</v>
      </c>
    </row>
    <row r="5" spans="1:15" ht="27" customHeight="1" x14ac:dyDescent="0.25">
      <c r="A5" s="8" t="s">
        <v>22</v>
      </c>
      <c r="B5" s="5" t="s">
        <v>23</v>
      </c>
      <c r="D5" s="5" t="str">
        <f t="shared" si="1"/>
        <v>C:\Users\WZHARBC\Documents\ocr-ray\monthly_tasks\Exports\004 Redeployment\20211130_RLCZ_RLRE.xlsx</v>
      </c>
      <c r="E5" s="5" t="str">
        <f t="shared" si="0"/>
        <v>20211130_RLCZ &amp; RLRE_Redeployment</v>
      </c>
      <c r="F5" s="6" t="s">
        <v>12</v>
      </c>
      <c r="G5" t="s">
        <v>13</v>
      </c>
      <c r="H5" t="s">
        <v>24</v>
      </c>
    </row>
    <row r="6" spans="1:15" ht="27" customHeight="1" x14ac:dyDescent="0.25">
      <c r="A6" s="8" t="s">
        <v>25</v>
      </c>
      <c r="B6" s="5" t="s">
        <v>26</v>
      </c>
      <c r="C6" s="16" t="s">
        <v>27</v>
      </c>
      <c r="D6" s="5" t="str">
        <f t="shared" si="1"/>
        <v>C:\Users\WZHARBC\Documents\ocr-ray\monthly_tasks\Exports\004 Redeployment\20211130_RBIAG.xlsx</v>
      </c>
      <c r="E6" s="5" t="str">
        <f t="shared" si="0"/>
        <v>20211130_RBIAG_Redeployment</v>
      </c>
      <c r="F6" s="6" t="s">
        <v>12</v>
      </c>
      <c r="G6" t="s">
        <v>13</v>
      </c>
      <c r="H6" t="s">
        <v>28</v>
      </c>
    </row>
    <row r="7" spans="1:15" ht="27" customHeight="1" x14ac:dyDescent="0.25">
      <c r="A7" s="8" t="s">
        <v>29</v>
      </c>
      <c r="B7" s="5" t="s">
        <v>30</v>
      </c>
      <c r="D7" s="5" t="str">
        <f t="shared" si="1"/>
        <v>C:\Users\WZHARBC\Documents\ocr-ray\monthly_tasks\Exports\004 Redeployment\20211130_RBIAG_GLOBAL_TREASURY.xlsx</v>
      </c>
      <c r="E7" s="5" t="str">
        <f t="shared" si="0"/>
        <v>20211130_RBIAG-Global-Treasury_Redeployment</v>
      </c>
      <c r="F7" s="6" t="s">
        <v>12</v>
      </c>
      <c r="G7" t="s">
        <v>13</v>
      </c>
      <c r="H7" t="s">
        <v>31</v>
      </c>
    </row>
    <row r="8" spans="1:15" ht="27" customHeight="1" x14ac:dyDescent="0.25">
      <c r="A8" s="8" t="s">
        <v>32</v>
      </c>
      <c r="B8" s="5" t="s">
        <v>33</v>
      </c>
      <c r="C8" s="5" t="s">
        <v>34</v>
      </c>
      <c r="D8" s="5" t="str">
        <f t="shared" si="1"/>
        <v>C:\Users\WZHARBC\Documents\ocr-ray\monthly_tasks\Exports\004 Redeployment\20211130_REPO.xlsx</v>
      </c>
      <c r="E8" s="5" t="str">
        <f t="shared" si="0"/>
        <v>20211130_REPO_Redeployment</v>
      </c>
      <c r="F8" s="6" t="s">
        <v>12</v>
      </c>
      <c r="G8" t="s">
        <v>13</v>
      </c>
      <c r="H8" t="s">
        <v>35</v>
      </c>
    </row>
    <row r="9" spans="1:15" ht="27" customHeight="1" x14ac:dyDescent="0.25">
      <c r="A9" s="8" t="s">
        <v>36</v>
      </c>
      <c r="B9" s="5" t="s">
        <v>37</v>
      </c>
      <c r="C9" s="16"/>
      <c r="D9" s="5" t="str">
        <f t="shared" si="1"/>
        <v>C:\Users\WZHARBC\Documents\ocr-ray\monthly_tasks\Exports\004 Redeployment\20211130_FACILITY.xlsx</v>
      </c>
      <c r="E9" s="5" t="str">
        <f t="shared" si="0"/>
        <v>20211130_FACILITY_Redeployment</v>
      </c>
      <c r="F9" s="6" t="s">
        <v>12</v>
      </c>
      <c r="G9" t="s">
        <v>13</v>
      </c>
      <c r="H9" t="s">
        <v>38</v>
      </c>
    </row>
    <row r="10" spans="1:15" ht="27" customHeight="1" x14ac:dyDescent="0.25">
      <c r="A10" s="7" t="s">
        <v>39</v>
      </c>
      <c r="B10" s="5" t="s">
        <v>40</v>
      </c>
      <c r="C10" s="5" t="s">
        <v>41</v>
      </c>
      <c r="D10" s="5" t="str">
        <f>$O$2&amp;"004 Redeployment\"&amp;"CVA\"&amp;H10&amp;$M$3&amp;".xlsx"</f>
        <v>C:\Users\WZHARBC\Documents\ocr-ray\monthly_tasks\Exports\004 Redeployment\CVA\RBI_CVA_1130.xlsx</v>
      </c>
      <c r="E10" s="5" t="str">
        <f t="shared" si="0"/>
        <v>20211130_CVA RBI_Redeployment</v>
      </c>
      <c r="F10" s="6" t="s">
        <v>12</v>
      </c>
      <c r="G10" t="s">
        <v>13</v>
      </c>
      <c r="H10" t="s">
        <v>42</v>
      </c>
    </row>
    <row r="11" spans="1:15" ht="27" customHeight="1" x14ac:dyDescent="0.25">
      <c r="A11" s="7" t="s">
        <v>43</v>
      </c>
      <c r="B11" s="5" t="s">
        <v>44</v>
      </c>
      <c r="D11" s="5" t="str">
        <f>$O$2&amp;"004 Redeployment\"&amp;"CVA\"&amp;H11&amp;$M$3&amp;".xlsx"</f>
        <v>C:\Users\WZHARBC\Documents\ocr-ray\monthly_tasks\Exports\004 Redeployment\CVA\RBHR_CVA_1130.xlsx</v>
      </c>
      <c r="E11" s="5" t="str">
        <f t="shared" si="0"/>
        <v>20211130_CVA RBHR_Redeployment</v>
      </c>
      <c r="F11" s="6" t="s">
        <v>12</v>
      </c>
      <c r="G11" t="s">
        <v>13</v>
      </c>
      <c r="H11" t="s">
        <v>45</v>
      </c>
    </row>
    <row r="12" spans="1:15" ht="27" customHeight="1" x14ac:dyDescent="0.25">
      <c r="A12" s="7" t="s">
        <v>46</v>
      </c>
      <c r="B12" s="5" t="s">
        <v>47</v>
      </c>
      <c r="D12" s="5" t="str">
        <f t="shared" ref="D12:D28" si="2">$O$2&amp;"004 Redeployment\"&amp;"CVA\"&amp;H12&amp;M5&amp;".xlsx"</f>
        <v>C:\Users\WZHARBC\Documents\ocr-ray\monthly_tasks\Exports\004 Redeployment\CVA\RBHU_CVA_.xlsx</v>
      </c>
      <c r="E12" s="5" t="str">
        <f t="shared" si="0"/>
        <v>20211130_CVA RBHU_Redeployment</v>
      </c>
      <c r="F12" s="6" t="s">
        <v>12</v>
      </c>
      <c r="G12" t="s">
        <v>13</v>
      </c>
      <c r="H12" t="s">
        <v>48</v>
      </c>
    </row>
    <row r="13" spans="1:15" ht="27" customHeight="1" x14ac:dyDescent="0.25">
      <c r="A13" s="7" t="s">
        <v>49</v>
      </c>
      <c r="B13" s="5" t="s">
        <v>50</v>
      </c>
      <c r="D13" s="5" t="str">
        <f t="shared" si="2"/>
        <v>C:\Users\WZHARBC\Documents\ocr-ray\monthly_tasks\Exports\004 Redeployment\CVA\RBPL_CVA_1130.xlsx</v>
      </c>
      <c r="E13" s="5" t="str">
        <f t="shared" si="0"/>
        <v>20211130_CVA RBPL_Redeployment</v>
      </c>
      <c r="F13" s="6" t="s">
        <v>12</v>
      </c>
      <c r="G13" t="s">
        <v>13</v>
      </c>
      <c r="H13" t="s">
        <v>197</v>
      </c>
    </row>
    <row r="14" spans="1:15" ht="27" customHeight="1" x14ac:dyDescent="0.25">
      <c r="A14" s="7" t="s">
        <v>51</v>
      </c>
      <c r="B14" s="5" t="s">
        <v>52</v>
      </c>
      <c r="D14" s="5" t="str">
        <f t="shared" si="2"/>
        <v>C:\Users\WZHARBC\Documents\ocr-ray\monthly_tasks\Exports\004 Redeployment\CVA\RBRO_CVA_1130.xlsx</v>
      </c>
      <c r="E14" s="5" t="str">
        <f t="shared" si="0"/>
        <v>20211130_CVA RBRO_Redeployment</v>
      </c>
      <c r="F14" s="6" t="s">
        <v>12</v>
      </c>
      <c r="G14" t="s">
        <v>13</v>
      </c>
      <c r="H14" t="s">
        <v>198</v>
      </c>
    </row>
    <row r="15" spans="1:15" ht="27" customHeight="1" x14ac:dyDescent="0.25">
      <c r="A15" s="7" t="s">
        <v>53</v>
      </c>
      <c r="B15" s="5" t="s">
        <v>54</v>
      </c>
      <c r="D15" s="5" t="str">
        <f t="shared" si="2"/>
        <v>C:\Users\WZHARBC\Documents\ocr-ray\monthly_tasks\Exports\004 Redeployment\CVA\RBRS_CVA_1130.xlsx</v>
      </c>
      <c r="E15" s="5" t="str">
        <f t="shared" si="0"/>
        <v>20211130_CVA RBRS_Redeployment</v>
      </c>
      <c r="F15" s="6" t="s">
        <v>12</v>
      </c>
      <c r="G15" t="s">
        <v>13</v>
      </c>
      <c r="H15" t="s">
        <v>199</v>
      </c>
    </row>
    <row r="16" spans="1:15" ht="27" customHeight="1" x14ac:dyDescent="0.25">
      <c r="A16" s="7" t="s">
        <v>55</v>
      </c>
      <c r="B16" s="5" t="s">
        <v>56</v>
      </c>
      <c r="D16" s="5" t="str">
        <f t="shared" si="2"/>
        <v>C:\Users\WZHARBC\Documents\ocr-ray\monthly_tasks\Exports\004 Redeployment\CVA\RBRU_CVA_1130.xlsx</v>
      </c>
      <c r="E16" s="5" t="str">
        <f t="shared" si="0"/>
        <v>20211130_CVA RBRU_Redeployment</v>
      </c>
      <c r="F16" s="6" t="s">
        <v>12</v>
      </c>
      <c r="G16" s="18" t="s">
        <v>13</v>
      </c>
      <c r="H16" t="s">
        <v>200</v>
      </c>
    </row>
    <row r="17" spans="1:8" ht="27" customHeight="1" x14ac:dyDescent="0.25">
      <c r="A17" s="7" t="s">
        <v>57</v>
      </c>
      <c r="B17" s="5" t="s">
        <v>20</v>
      </c>
      <c r="D17" s="5" t="str">
        <f t="shared" si="2"/>
        <v>C:\Users\WZHARBC\Documents\ocr-ray\monthly_tasks\Exports\004 Redeployment\CVA\RBSG_CVA_1130.xlsx</v>
      </c>
      <c r="E17" s="5" t="str">
        <f t="shared" si="0"/>
        <v>20211130_CVA RBSG_Redeployment</v>
      </c>
      <c r="F17" s="6" t="s">
        <v>12</v>
      </c>
      <c r="G17" t="s">
        <v>13</v>
      </c>
      <c r="H17" t="s">
        <v>201</v>
      </c>
    </row>
    <row r="18" spans="1:8" ht="27" customHeight="1" x14ac:dyDescent="0.25">
      <c r="A18" s="7" t="s">
        <v>58</v>
      </c>
      <c r="B18" s="5" t="s">
        <v>59</v>
      </c>
      <c r="D18" s="5" t="str">
        <f t="shared" si="2"/>
        <v>C:\Users\WZHARBC\Documents\ocr-ray\monthly_tasks\Exports\004 Redeployment\CVA\RLBANK_CVA_1130.xlsx</v>
      </c>
      <c r="E18" s="5" t="str">
        <f t="shared" si="0"/>
        <v>20211130_CVA RLBANK_Redeployment</v>
      </c>
      <c r="F18" s="6" t="s">
        <v>12</v>
      </c>
      <c r="G18" t="s">
        <v>13</v>
      </c>
      <c r="H18" t="s">
        <v>202</v>
      </c>
    </row>
    <row r="19" spans="1:8" ht="27" customHeight="1" x14ac:dyDescent="0.25">
      <c r="A19" s="7" t="s">
        <v>60</v>
      </c>
      <c r="B19" s="5" t="s">
        <v>59</v>
      </c>
      <c r="D19" s="5" t="str">
        <f t="shared" si="2"/>
        <v>C:\Users\WZHARBC\Documents\ocr-ray\monthly_tasks\Exports\004 Redeployment\CVA\RLNORDIC_CVA_1130.xlsx</v>
      </c>
      <c r="E19" s="5" t="str">
        <f t="shared" si="0"/>
        <v>20211130_CVA RLNORDIC_Redeployment</v>
      </c>
      <c r="F19" s="6" t="s">
        <v>12</v>
      </c>
      <c r="G19" t="s">
        <v>13</v>
      </c>
      <c r="H19" t="s">
        <v>203</v>
      </c>
    </row>
    <row r="20" spans="1:8" ht="27" customHeight="1" x14ac:dyDescent="0.25">
      <c r="A20" s="7" t="s">
        <v>61</v>
      </c>
      <c r="B20" s="5" t="s">
        <v>59</v>
      </c>
      <c r="D20" s="5" t="str">
        <f t="shared" si="2"/>
        <v>C:\Users\WZHARBC\Documents\ocr-ray\monthly_tasks\Exports\004 Redeployment\CVA\MOBIX_CVA_1130.xlsx</v>
      </c>
      <c r="E20" s="5" t="str">
        <f t="shared" si="0"/>
        <v>20211130_CVA MOBIX_Redeployment</v>
      </c>
      <c r="F20" s="6" t="s">
        <v>12</v>
      </c>
      <c r="G20" t="s">
        <v>13</v>
      </c>
      <c r="H20" t="s">
        <v>204</v>
      </c>
    </row>
    <row r="21" spans="1:8" ht="27" customHeight="1" x14ac:dyDescent="0.25">
      <c r="A21" s="7" t="s">
        <v>62</v>
      </c>
      <c r="B21" s="5" t="s">
        <v>59</v>
      </c>
      <c r="D21" s="5" t="str">
        <f t="shared" si="2"/>
        <v>C:\Users\WZHARBC\Documents\ocr-ray\monthly_tasks\Exports\004 Redeployment\CVA\ALEASS_CVA_1130.xlsx</v>
      </c>
      <c r="E21" s="5" t="str">
        <f t="shared" si="0"/>
        <v>20211130_CVA ALEASS_Redeployment</v>
      </c>
      <c r="F21" s="6" t="s">
        <v>12</v>
      </c>
      <c r="G21" t="s">
        <v>13</v>
      </c>
      <c r="H21" t="s">
        <v>205</v>
      </c>
    </row>
    <row r="22" spans="1:8" ht="27" customHeight="1" x14ac:dyDescent="0.25">
      <c r="A22" s="7" t="s">
        <v>63</v>
      </c>
      <c r="B22" s="5" t="s">
        <v>59</v>
      </c>
      <c r="D22" s="5" t="str">
        <f t="shared" si="2"/>
        <v>C:\Users\WZHARBC\Documents\ocr-ray\monthly_tasks\Exports\004 Redeployment\CVA\IGNIS_CVA_1130.xlsx</v>
      </c>
      <c r="E22" s="5" t="str">
        <f t="shared" si="0"/>
        <v>20211130_CVA IGNIS_Redeployment</v>
      </c>
      <c r="F22" s="6" t="s">
        <v>12</v>
      </c>
      <c r="G22" t="s">
        <v>13</v>
      </c>
      <c r="H22" t="s">
        <v>206</v>
      </c>
    </row>
    <row r="23" spans="1:8" ht="27" customHeight="1" x14ac:dyDescent="0.25">
      <c r="A23" s="7" t="s">
        <v>64</v>
      </c>
      <c r="B23" s="5" t="s">
        <v>59</v>
      </c>
      <c r="D23" s="5" t="str">
        <f t="shared" si="2"/>
        <v>C:\Users\WZHARBC\Documents\ocr-ray\monthly_tasks\Exports\004 Redeployment\CVA\ARCANA_CVA_1130.xlsx</v>
      </c>
      <c r="E23" s="5" t="str">
        <f t="shared" si="0"/>
        <v>20211130_CVA ARCANA_Redeployment</v>
      </c>
      <c r="F23" s="6" t="s">
        <v>12</v>
      </c>
      <c r="G23" t="s">
        <v>13</v>
      </c>
      <c r="H23" t="s">
        <v>207</v>
      </c>
    </row>
    <row r="24" spans="1:8" ht="27" customHeight="1" x14ac:dyDescent="0.25">
      <c r="A24" s="7" t="s">
        <v>65</v>
      </c>
      <c r="B24" s="5" t="s">
        <v>66</v>
      </c>
      <c r="D24" s="5" t="str">
        <f t="shared" si="2"/>
        <v>C:\Users\WZHARBC\Documents\ocr-ray\monthly_tasks\Exports\004 Redeployment\CVA\TBSK_CVA_1130.xlsx</v>
      </c>
      <c r="E24" s="5" t="str">
        <f t="shared" si="0"/>
        <v>20211130_CVA TBSK_Redeployment</v>
      </c>
      <c r="F24" s="6" t="s">
        <v>12</v>
      </c>
      <c r="G24" t="s">
        <v>13</v>
      </c>
      <c r="H24" t="s">
        <v>208</v>
      </c>
    </row>
    <row r="25" spans="1:8" ht="27" customHeight="1" x14ac:dyDescent="0.25">
      <c r="A25" s="7" t="s">
        <v>67</v>
      </c>
      <c r="B25" s="5" t="s">
        <v>68</v>
      </c>
      <c r="D25" s="5" t="str">
        <f t="shared" si="2"/>
        <v>C:\Users\WZHARBC\Documents\ocr-ray\monthly_tasks\Exports\004 Redeployment\CVA\RBSPK_CVA_1130.xlsx</v>
      </c>
      <c r="E25" s="5" t="str">
        <f t="shared" si="0"/>
        <v>20211130_CVA RBSPK_Redeployment</v>
      </c>
      <c r="F25" s="6" t="s">
        <v>12</v>
      </c>
      <c r="G25" t="s">
        <v>13</v>
      </c>
      <c r="H25" t="s">
        <v>209</v>
      </c>
    </row>
    <row r="26" spans="1:8" ht="27" customHeight="1" x14ac:dyDescent="0.25">
      <c r="A26" s="7" t="s">
        <v>69</v>
      </c>
      <c r="B26" s="5" t="s">
        <v>70</v>
      </c>
      <c r="D26" s="5" t="str">
        <f t="shared" si="2"/>
        <v>C:\Users\WZHARBC\Documents\ocr-ray\monthly_tasks\Exports\004 Redeployment\CVA\RBCZ_CVA_1130.xlsx</v>
      </c>
      <c r="E26" s="5" t="str">
        <f t="shared" si="0"/>
        <v>20211130_CVA RBCZ_Redeployment</v>
      </c>
      <c r="F26" s="6" t="s">
        <v>12</v>
      </c>
      <c r="G26" t="s">
        <v>13</v>
      </c>
      <c r="H26" t="s">
        <v>210</v>
      </c>
    </row>
    <row r="27" spans="1:8" ht="27" customHeight="1" x14ac:dyDescent="0.25">
      <c r="A27" s="7" t="s">
        <v>71</v>
      </c>
      <c r="B27" s="5" t="s">
        <v>72</v>
      </c>
      <c r="D27" s="5" t="str">
        <f t="shared" si="2"/>
        <v>C:\Users\WZHARBC\Documents\ocr-ray\monthly_tasks\Exports\004 Redeployment\CVA\AVAL_CVA_1130.xlsx</v>
      </c>
      <c r="E27" s="5" t="str">
        <f t="shared" si="0"/>
        <v>20211130_CVA AVAL_Redeployment</v>
      </c>
      <c r="F27" s="6" t="s">
        <v>12</v>
      </c>
      <c r="G27" t="s">
        <v>13</v>
      </c>
      <c r="H27" t="s">
        <v>211</v>
      </c>
    </row>
    <row r="28" spans="1:8" ht="27" customHeight="1" x14ac:dyDescent="0.25">
      <c r="A28" s="7" t="s">
        <v>73</v>
      </c>
      <c r="B28" s="5" t="s">
        <v>74</v>
      </c>
      <c r="D28" s="5" t="str">
        <f t="shared" si="2"/>
        <v>C:\Users\WZHARBC\Documents\ocr-ray\monthly_tasks\Exports\004 Redeployment\CVA\CENTRO_CVA_1130.xlsx</v>
      </c>
      <c r="E28" s="5" t="str">
        <f t="shared" ref="E28:E36" si="3">$N$2&amp;A28</f>
        <v>20211130_CVA CENTRO_Redeployment</v>
      </c>
      <c r="F28" s="6" t="s">
        <v>75</v>
      </c>
      <c r="G28" t="s">
        <v>13</v>
      </c>
      <c r="H28" t="s">
        <v>212</v>
      </c>
    </row>
    <row r="29" spans="1:8" ht="27" customHeight="1" x14ac:dyDescent="0.25">
      <c r="A29" s="7" t="s">
        <v>76</v>
      </c>
      <c r="B29" s="5" t="s">
        <v>23</v>
      </c>
      <c r="D29" s="5" t="str">
        <f>$O$2&amp;"004 Redeployment\"&amp;"CVA\"&amp;H29&amp;M21&amp;".xlsx"</f>
        <v>C:\Users\WZHARBC\Documents\ocr-ray\monthly_tasks\Exports\004 Redeployment\CVA\RLCZ_CVA_1130.xlsx</v>
      </c>
      <c r="E29" s="5" t="str">
        <f t="shared" ref="E29" si="4">$N$2&amp;A29</f>
        <v>20211130_CVA RLCZ_Redeployment</v>
      </c>
      <c r="F29" s="6" t="s">
        <v>77</v>
      </c>
      <c r="G29" t="s">
        <v>13</v>
      </c>
      <c r="H29" t="s">
        <v>213</v>
      </c>
    </row>
    <row r="30" spans="1:8" ht="27" customHeight="1" x14ac:dyDescent="0.25">
      <c r="A30" s="7" t="s">
        <v>195</v>
      </c>
      <c r="B30" s="5" t="s">
        <v>196</v>
      </c>
      <c r="D30" s="5" t="str">
        <f>$O$2&amp;"004 Redeployment\"&amp;"CVA\"&amp;H30&amp;M22&amp;".xlsx"</f>
        <v>C:\Users\WZHARBC\Documents\ocr-ray\monthly_tasks\Exports\004 Redeployment\CVA\RLBI_CVA_1130.xlsx</v>
      </c>
      <c r="E30" s="5" t="str">
        <f t="shared" si="3"/>
        <v>20211130_RBIPL</v>
      </c>
      <c r="F30" s="6" t="s">
        <v>77</v>
      </c>
      <c r="G30" t="s">
        <v>13</v>
      </c>
      <c r="H30" t="s">
        <v>214</v>
      </c>
    </row>
    <row r="31" spans="1:8" ht="27" customHeight="1" x14ac:dyDescent="0.25">
      <c r="A31" s="8" t="s">
        <v>78</v>
      </c>
      <c r="B31" s="5" t="s">
        <v>79</v>
      </c>
      <c r="C31" s="5" t="s">
        <v>80</v>
      </c>
      <c r="D31" s="5" t="str">
        <f>$O$2&amp;"004 Redeployment\"&amp;H31&amp;M23&amp;".xlsx"</f>
        <v>C:\Users\WZHARBC\Documents\ocr-ray\monthly_tasks\Exports\004 Redeployment\20211130_Auswertung_RUB_CHF_USD.xlsx</v>
      </c>
      <c r="E31" s="5" t="str">
        <f t="shared" si="3"/>
        <v>20211130_RUB, CHF, USD Exposure</v>
      </c>
      <c r="F31" s="6" t="s">
        <v>12</v>
      </c>
      <c r="G31" t="s">
        <v>13</v>
      </c>
      <c r="H31" t="s">
        <v>215</v>
      </c>
    </row>
    <row r="32" spans="1:8" ht="27" customHeight="1" x14ac:dyDescent="0.25">
      <c r="A32" s="8" t="s">
        <v>81</v>
      </c>
      <c r="B32" s="5" t="s">
        <v>82</v>
      </c>
      <c r="D32" s="5" t="str">
        <f>$O$2&amp;"004 Redeployment\"&amp;H32&amp;M24&amp;".xlsx"</f>
        <v>C:\Users\WZHARBC\Documents\ocr-ray\monthly_tasks\Exports\004 Redeployment\Asia_US_portfolio.xlsx</v>
      </c>
      <c r="E32" s="5" t="str">
        <f t="shared" si="3"/>
        <v>20211130_US &amp; Asia Abbau Overview</v>
      </c>
      <c r="F32" s="6" t="s">
        <v>83</v>
      </c>
      <c r="G32" t="s">
        <v>13</v>
      </c>
      <c r="H32" t="s">
        <v>84</v>
      </c>
    </row>
    <row r="33" spans="1:8" ht="27" customHeight="1" x14ac:dyDescent="0.25">
      <c r="A33" s="8" t="s">
        <v>85</v>
      </c>
      <c r="B33" s="5" t="s">
        <v>86</v>
      </c>
      <c r="C33" s="16"/>
      <c r="D33" s="5" t="str">
        <f>$O$2&amp;"004 Redeployment\"&amp;H33&amp;M25&amp;".xlsx"</f>
        <v>C:\Users\WZHARBC\Documents\ocr-ray\monthly_tasks\Exports\004 Redeployment\RBI_cons_uncons.xlsx</v>
      </c>
      <c r="E33" s="5" t="str">
        <f t="shared" si="3"/>
        <v>20211130_Neue_Valuetypes</v>
      </c>
      <c r="F33" s="6" t="s">
        <v>87</v>
      </c>
      <c r="G33" s="18" t="s">
        <v>13</v>
      </c>
      <c r="H33" t="s">
        <v>88</v>
      </c>
    </row>
    <row r="34" spans="1:8" ht="27" customHeight="1" x14ac:dyDescent="0.25">
      <c r="A34" s="8" t="s">
        <v>89</v>
      </c>
      <c r="B34" s="5" t="s">
        <v>90</v>
      </c>
      <c r="D34" s="5" t="str">
        <f>$O$2&amp;"004 Redeployment\"&amp;H34&amp;M26&amp;".xlsx"</f>
        <v>C:\Users\WZHARBC\Documents\ocr-ray\monthly_tasks\Exports\004 Redeployment\20211130_ECB_Daten.xlsx</v>
      </c>
      <c r="E34" s="5" t="str">
        <f t="shared" si="3"/>
        <v>20211130_ECB-Datenfile_Redeployment</v>
      </c>
      <c r="F34" s="6" t="s">
        <v>91</v>
      </c>
      <c r="G34" t="s">
        <v>13</v>
      </c>
      <c r="H34" t="s">
        <v>216</v>
      </c>
    </row>
    <row r="35" spans="1:8" ht="27" customHeight="1" x14ac:dyDescent="0.25">
      <c r="A35" s="8" t="s">
        <v>92</v>
      </c>
      <c r="B35" s="5" t="s">
        <v>93</v>
      </c>
      <c r="D35" s="5" t="str">
        <f>$O$2&amp;"004 Redeployment\"&amp;H35&amp;M27&amp;".xlsx"</f>
        <v>C:\Users\WZHARBC\Documents\ocr-ray\monthly_tasks\Exports\004 Redeployment\20211130_SME_SUPPORT.xlsx</v>
      </c>
      <c r="E35" s="5" t="str">
        <f t="shared" si="3"/>
        <v>20211130_SME-Factor</v>
      </c>
      <c r="F35" s="6" t="s">
        <v>94</v>
      </c>
      <c r="G35" s="18" t="s">
        <v>13</v>
      </c>
      <c r="H35" t="s">
        <v>217</v>
      </c>
    </row>
    <row r="36" spans="1:8" ht="27" customHeight="1" x14ac:dyDescent="0.25">
      <c r="A36" s="8" t="s">
        <v>95</v>
      </c>
      <c r="B36" s="5" t="s">
        <v>96</v>
      </c>
      <c r="D36" s="5" t="str">
        <f>$O$2&amp;"004 Redeployment\"&amp;H36&amp;M28&amp;".xlsx"</f>
        <v>C:\Users\WZHARBC\Documents\ocr-ray\monthly_tasks\Exports\004 Redeployment\20211130_RZB_CLC_COLLATERAL.xlsx</v>
      </c>
      <c r="E36" s="5" t="str">
        <f t="shared" si="3"/>
        <v>20211130_RZB_CLC_COLLATERAL</v>
      </c>
      <c r="F36" s="6" t="s">
        <v>12</v>
      </c>
      <c r="G36" t="s">
        <v>13</v>
      </c>
      <c r="H36" t="s">
        <v>218</v>
      </c>
    </row>
  </sheetData>
  <autoFilter ref="A1:G36" xr:uid="{00000000-0009-0000-0000-000000000000}"/>
  <hyperlinks>
    <hyperlink ref="C6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il">
                <anchor moveWithCells="1" sizeWithCells="1">
                  <from>
                    <xdr:col>11</xdr:col>
                    <xdr:colOff>9525</xdr:colOff>
                    <xdr:row>4</xdr:row>
                    <xdr:rowOff>0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5"/>
  <sheetViews>
    <sheetView zoomScale="70" zoomScaleNormal="70" workbookViewId="0">
      <selection sqref="A1:O35"/>
    </sheetView>
  </sheetViews>
  <sheetFormatPr defaultColWidth="9.140625" defaultRowHeight="15" x14ac:dyDescent="0.25"/>
  <cols>
    <col min="1" max="1" width="37.42578125" bestFit="1" customWidth="1"/>
    <col min="2" max="2" width="13.140625" customWidth="1"/>
    <col min="3" max="3" width="78.28515625" customWidth="1"/>
    <col min="4" max="4" width="125.28515625" bestFit="1" customWidth="1"/>
    <col min="5" max="5" width="46.85546875" bestFit="1" customWidth="1"/>
    <col min="7" max="7" width="5.28515625" bestFit="1" customWidth="1"/>
    <col min="12" max="12" width="14.42578125" bestFit="1" customWidth="1"/>
    <col min="13" max="13" width="4" bestFit="1" customWidth="1"/>
    <col min="14" max="14" width="10" bestFit="1" customWidth="1"/>
    <col min="15" max="15" width="5.710937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 t="s">
        <v>7</v>
      </c>
      <c r="O1" t="s">
        <v>8</v>
      </c>
    </row>
    <row r="2" spans="1:15" s="18" customFormat="1" x14ac:dyDescent="0.25">
      <c r="A2" s="18" t="s">
        <v>9</v>
      </c>
      <c r="B2" s="18" t="s">
        <v>10</v>
      </c>
      <c r="C2" s="18" t="s">
        <v>97</v>
      </c>
      <c r="D2" s="18" t="s">
        <v>98</v>
      </c>
      <c r="E2" s="18" t="s">
        <v>99</v>
      </c>
      <c r="F2" s="18" t="s">
        <v>12</v>
      </c>
      <c r="L2" s="18">
        <v>20180831</v>
      </c>
      <c r="M2" s="18" t="s">
        <v>15</v>
      </c>
      <c r="N2" s="18" t="s">
        <v>100</v>
      </c>
      <c r="O2" s="18" t="s">
        <v>101</v>
      </c>
    </row>
    <row r="3" spans="1:15" s="17" customFormat="1" x14ac:dyDescent="0.25">
      <c r="A3" s="17" t="s">
        <v>16</v>
      </c>
      <c r="B3" s="17" t="s">
        <v>17</v>
      </c>
      <c r="C3" s="17" t="s">
        <v>102</v>
      </c>
      <c r="D3" s="17" t="s">
        <v>103</v>
      </c>
      <c r="E3" s="17" t="s">
        <v>104</v>
      </c>
      <c r="F3" s="17" t="s">
        <v>12</v>
      </c>
      <c r="L3" s="17" t="s">
        <v>105</v>
      </c>
      <c r="M3" s="17" t="s">
        <v>106</v>
      </c>
    </row>
    <row r="4" spans="1:15" s="17" customFormat="1" x14ac:dyDescent="0.25">
      <c r="A4" s="17" t="s">
        <v>19</v>
      </c>
      <c r="B4" s="17" t="s">
        <v>20</v>
      </c>
      <c r="C4" s="17" t="s">
        <v>102</v>
      </c>
      <c r="D4" s="17" t="s">
        <v>107</v>
      </c>
      <c r="E4" s="17" t="s">
        <v>108</v>
      </c>
      <c r="F4" s="17" t="s">
        <v>12</v>
      </c>
    </row>
    <row r="5" spans="1:15" s="17" customFormat="1" x14ac:dyDescent="0.25">
      <c r="A5" s="17" t="s">
        <v>22</v>
      </c>
      <c r="B5" s="17" t="s">
        <v>109</v>
      </c>
      <c r="C5" s="17" t="s">
        <v>102</v>
      </c>
      <c r="D5" s="17" t="s">
        <v>110</v>
      </c>
      <c r="E5" s="17" t="s">
        <v>111</v>
      </c>
      <c r="F5" s="17" t="s">
        <v>12</v>
      </c>
    </row>
    <row r="6" spans="1:15" s="17" customFormat="1" x14ac:dyDescent="0.25">
      <c r="A6" s="17" t="s">
        <v>25</v>
      </c>
      <c r="B6" s="17" t="s">
        <v>26</v>
      </c>
      <c r="C6" s="17" t="s">
        <v>112</v>
      </c>
      <c r="D6" s="17" t="s">
        <v>113</v>
      </c>
      <c r="E6" s="17" t="s">
        <v>114</v>
      </c>
      <c r="F6" s="17" t="s">
        <v>12</v>
      </c>
    </row>
    <row r="7" spans="1:15" s="17" customFormat="1" x14ac:dyDescent="0.25">
      <c r="A7" s="17" t="s">
        <v>29</v>
      </c>
      <c r="B7" s="17" t="s">
        <v>30</v>
      </c>
      <c r="C7" s="17" t="s">
        <v>102</v>
      </c>
      <c r="D7" s="17" t="s">
        <v>115</v>
      </c>
      <c r="E7" s="17" t="s">
        <v>116</v>
      </c>
      <c r="F7" s="17" t="s">
        <v>12</v>
      </c>
    </row>
    <row r="8" spans="1:15" s="17" customFormat="1" x14ac:dyDescent="0.25">
      <c r="A8" s="17" t="s">
        <v>32</v>
      </c>
      <c r="B8" s="17" t="s">
        <v>117</v>
      </c>
      <c r="C8" s="17" t="s">
        <v>118</v>
      </c>
      <c r="D8" s="17" t="s">
        <v>119</v>
      </c>
      <c r="E8" s="17" t="s">
        <v>120</v>
      </c>
      <c r="F8" s="17" t="s">
        <v>12</v>
      </c>
    </row>
    <row r="9" spans="1:15" s="18" customFormat="1" x14ac:dyDescent="0.25">
      <c r="A9" s="18" t="s">
        <v>36</v>
      </c>
      <c r="B9" s="18" t="s">
        <v>37</v>
      </c>
      <c r="C9" s="18" t="s">
        <v>102</v>
      </c>
      <c r="D9" s="18" t="s">
        <v>121</v>
      </c>
      <c r="E9" s="18" t="s">
        <v>122</v>
      </c>
      <c r="F9" s="18" t="s">
        <v>12</v>
      </c>
    </row>
    <row r="10" spans="1:15" s="17" customFormat="1" x14ac:dyDescent="0.25">
      <c r="A10" s="17" t="s">
        <v>39</v>
      </c>
      <c r="B10" s="17" t="s">
        <v>40</v>
      </c>
      <c r="C10" s="17" t="s">
        <v>123</v>
      </c>
      <c r="D10" s="17" t="s">
        <v>124</v>
      </c>
      <c r="E10" s="17" t="s">
        <v>125</v>
      </c>
      <c r="F10" s="17" t="s">
        <v>12</v>
      </c>
    </row>
    <row r="11" spans="1:15" s="17" customFormat="1" x14ac:dyDescent="0.25">
      <c r="A11" s="17" t="s">
        <v>43</v>
      </c>
      <c r="B11" s="17" t="s">
        <v>126</v>
      </c>
      <c r="C11" s="17" t="s">
        <v>102</v>
      </c>
      <c r="D11" s="17" t="s">
        <v>127</v>
      </c>
      <c r="E11" s="17" t="s">
        <v>128</v>
      </c>
      <c r="F11" s="17" t="s">
        <v>12</v>
      </c>
    </row>
    <row r="12" spans="1:15" s="17" customFormat="1" x14ac:dyDescent="0.25">
      <c r="A12" s="17" t="s">
        <v>46</v>
      </c>
      <c r="B12" s="17" t="s">
        <v>47</v>
      </c>
      <c r="C12" s="17" t="s">
        <v>102</v>
      </c>
      <c r="D12" s="17" t="s">
        <v>129</v>
      </c>
      <c r="E12" s="17" t="s">
        <v>130</v>
      </c>
      <c r="F12" s="17" t="s">
        <v>12</v>
      </c>
    </row>
    <row r="13" spans="1:15" s="17" customFormat="1" x14ac:dyDescent="0.25">
      <c r="A13" s="17" t="s">
        <v>49</v>
      </c>
      <c r="B13" s="17" t="s">
        <v>50</v>
      </c>
      <c r="C13" s="17" t="s">
        <v>102</v>
      </c>
      <c r="D13" s="17" t="s">
        <v>131</v>
      </c>
      <c r="E13" s="17" t="s">
        <v>132</v>
      </c>
      <c r="F13" s="17" t="s">
        <v>12</v>
      </c>
    </row>
    <row r="14" spans="1:15" s="18" customFormat="1" x14ac:dyDescent="0.25">
      <c r="A14" s="18" t="s">
        <v>51</v>
      </c>
      <c r="B14" s="18" t="s">
        <v>52</v>
      </c>
      <c r="C14" s="18" t="s">
        <v>102</v>
      </c>
      <c r="D14" s="18" t="s">
        <v>133</v>
      </c>
      <c r="E14" s="18" t="s">
        <v>134</v>
      </c>
      <c r="F14" s="18" t="s">
        <v>12</v>
      </c>
    </row>
    <row r="15" spans="1:15" s="17" customFormat="1" x14ac:dyDescent="0.25">
      <c r="A15" s="17" t="s">
        <v>53</v>
      </c>
      <c r="B15" s="17" t="s">
        <v>54</v>
      </c>
      <c r="C15" s="17" t="s">
        <v>102</v>
      </c>
      <c r="D15" s="17" t="s">
        <v>135</v>
      </c>
      <c r="E15" s="17" t="s">
        <v>136</v>
      </c>
      <c r="F15" s="17" t="s">
        <v>12</v>
      </c>
    </row>
    <row r="16" spans="1:15" s="17" customFormat="1" x14ac:dyDescent="0.25">
      <c r="A16" s="17" t="s">
        <v>55</v>
      </c>
      <c r="B16" s="17" t="s">
        <v>137</v>
      </c>
      <c r="C16" s="17" t="s">
        <v>102</v>
      </c>
      <c r="D16" s="17" t="s">
        <v>138</v>
      </c>
      <c r="E16" s="17" t="s">
        <v>139</v>
      </c>
      <c r="F16" s="17" t="s">
        <v>12</v>
      </c>
    </row>
    <row r="17" spans="1:6" s="18" customFormat="1" x14ac:dyDescent="0.25">
      <c r="A17" s="18" t="s">
        <v>57</v>
      </c>
      <c r="B17" s="18" t="s">
        <v>20</v>
      </c>
      <c r="C17" s="18" t="s">
        <v>102</v>
      </c>
      <c r="D17" s="18" t="s">
        <v>140</v>
      </c>
      <c r="E17" s="18" t="s">
        <v>141</v>
      </c>
      <c r="F17" s="18" t="s">
        <v>12</v>
      </c>
    </row>
    <row r="18" spans="1:6" s="17" customFormat="1" x14ac:dyDescent="0.25">
      <c r="A18" s="17" t="s">
        <v>58</v>
      </c>
      <c r="B18" s="17" t="s">
        <v>59</v>
      </c>
      <c r="C18" s="17" t="s">
        <v>102</v>
      </c>
      <c r="D18" s="17" t="s">
        <v>142</v>
      </c>
      <c r="E18" s="17" t="s">
        <v>143</v>
      </c>
      <c r="F18" s="17" t="s">
        <v>12</v>
      </c>
    </row>
    <row r="19" spans="1:6" s="18" customFormat="1" x14ac:dyDescent="0.25">
      <c r="A19" s="18" t="s">
        <v>60</v>
      </c>
      <c r="B19" s="18" t="s">
        <v>59</v>
      </c>
      <c r="C19" s="18" t="s">
        <v>102</v>
      </c>
      <c r="D19" s="18" t="s">
        <v>144</v>
      </c>
      <c r="E19" s="18" t="s">
        <v>145</v>
      </c>
      <c r="F19" s="18" t="s">
        <v>12</v>
      </c>
    </row>
    <row r="20" spans="1:6" s="17" customFormat="1" x14ac:dyDescent="0.25">
      <c r="A20" s="17" t="s">
        <v>61</v>
      </c>
      <c r="B20" s="17" t="s">
        <v>59</v>
      </c>
      <c r="C20" s="17" t="s">
        <v>102</v>
      </c>
      <c r="D20" s="17" t="s">
        <v>146</v>
      </c>
      <c r="E20" s="17" t="s">
        <v>147</v>
      </c>
      <c r="F20" s="17" t="s">
        <v>12</v>
      </c>
    </row>
    <row r="21" spans="1:6" s="18" customFormat="1" x14ac:dyDescent="0.25">
      <c r="A21" s="18" t="s">
        <v>62</v>
      </c>
      <c r="B21" s="18" t="s">
        <v>59</v>
      </c>
      <c r="C21" s="18" t="s">
        <v>102</v>
      </c>
      <c r="D21" s="18" t="s">
        <v>148</v>
      </c>
      <c r="E21" s="18" t="s">
        <v>149</v>
      </c>
      <c r="F21" s="18" t="s">
        <v>12</v>
      </c>
    </row>
    <row r="22" spans="1:6" s="17" customFormat="1" x14ac:dyDescent="0.25">
      <c r="A22" s="17" t="s">
        <v>63</v>
      </c>
      <c r="B22" s="17" t="s">
        <v>59</v>
      </c>
      <c r="C22" s="17" t="s">
        <v>102</v>
      </c>
      <c r="D22" s="17" t="s">
        <v>150</v>
      </c>
      <c r="E22" s="17" t="s">
        <v>151</v>
      </c>
      <c r="F22" s="17" t="s">
        <v>12</v>
      </c>
    </row>
    <row r="23" spans="1:6" s="18" customFormat="1" x14ac:dyDescent="0.25">
      <c r="A23" s="18" t="s">
        <v>64</v>
      </c>
      <c r="B23" s="18" t="s">
        <v>59</v>
      </c>
      <c r="C23" s="18" t="s">
        <v>102</v>
      </c>
      <c r="D23" s="18" t="s">
        <v>152</v>
      </c>
      <c r="E23" s="18" t="s">
        <v>153</v>
      </c>
      <c r="F23" s="18" t="s">
        <v>12</v>
      </c>
    </row>
    <row r="24" spans="1:6" s="17" customFormat="1" x14ac:dyDescent="0.25">
      <c r="A24" s="17" t="s">
        <v>65</v>
      </c>
      <c r="B24" s="17" t="s">
        <v>66</v>
      </c>
      <c r="C24" s="17" t="s">
        <v>102</v>
      </c>
      <c r="D24" s="17" t="s">
        <v>154</v>
      </c>
      <c r="E24" s="17" t="s">
        <v>155</v>
      </c>
      <c r="F24" s="17" t="s">
        <v>12</v>
      </c>
    </row>
    <row r="25" spans="1:6" s="18" customFormat="1" x14ac:dyDescent="0.25">
      <c r="A25" s="18" t="s">
        <v>67</v>
      </c>
      <c r="B25" s="18" t="s">
        <v>68</v>
      </c>
      <c r="C25" s="18" t="s">
        <v>102</v>
      </c>
      <c r="D25" s="18" t="s">
        <v>156</v>
      </c>
      <c r="E25" s="18" t="s">
        <v>157</v>
      </c>
      <c r="F25" s="18" t="s">
        <v>12</v>
      </c>
    </row>
    <row r="26" spans="1:6" s="17" customFormat="1" x14ac:dyDescent="0.25">
      <c r="A26" s="17" t="s">
        <v>69</v>
      </c>
      <c r="B26" s="17" t="s">
        <v>158</v>
      </c>
      <c r="C26" s="17" t="s">
        <v>102</v>
      </c>
      <c r="D26" s="17" t="s">
        <v>159</v>
      </c>
      <c r="E26" s="17" t="s">
        <v>160</v>
      </c>
      <c r="F26" s="17" t="s">
        <v>12</v>
      </c>
    </row>
    <row r="27" spans="1:6" s="18" customFormat="1" x14ac:dyDescent="0.25">
      <c r="A27" s="18" t="s">
        <v>71</v>
      </c>
      <c r="B27" s="18" t="s">
        <v>72</v>
      </c>
      <c r="C27" s="18" t="s">
        <v>102</v>
      </c>
      <c r="D27" s="18" t="s">
        <v>161</v>
      </c>
      <c r="E27" s="18" t="s">
        <v>162</v>
      </c>
      <c r="F27" s="18" t="s">
        <v>12</v>
      </c>
    </row>
    <row r="28" spans="1:6" s="17" customFormat="1" x14ac:dyDescent="0.25">
      <c r="A28" s="17" t="s">
        <v>78</v>
      </c>
      <c r="B28" s="17" t="s">
        <v>163</v>
      </c>
      <c r="C28" s="17" t="s">
        <v>164</v>
      </c>
      <c r="D28" s="17" t="s">
        <v>165</v>
      </c>
      <c r="E28" s="17" t="s">
        <v>166</v>
      </c>
      <c r="F28" s="17" t="s">
        <v>12</v>
      </c>
    </row>
    <row r="29" spans="1:6" s="17" customFormat="1" x14ac:dyDescent="0.25">
      <c r="A29" s="17" t="s">
        <v>81</v>
      </c>
      <c r="B29" s="17" t="s">
        <v>82</v>
      </c>
      <c r="C29" s="17" t="s">
        <v>102</v>
      </c>
      <c r="D29" s="17" t="s">
        <v>167</v>
      </c>
      <c r="E29" s="17" t="s">
        <v>168</v>
      </c>
      <c r="F29" s="17" t="s">
        <v>83</v>
      </c>
    </row>
    <row r="30" spans="1:6" s="17" customFormat="1" x14ac:dyDescent="0.25">
      <c r="A30" s="17" t="s">
        <v>85</v>
      </c>
      <c r="B30" s="17" t="s">
        <v>40</v>
      </c>
      <c r="C30" s="17" t="s">
        <v>169</v>
      </c>
      <c r="D30" s="17" t="s">
        <v>170</v>
      </c>
      <c r="E30" s="17" t="s">
        <v>171</v>
      </c>
      <c r="F30" s="17" t="s">
        <v>172</v>
      </c>
    </row>
    <row r="31" spans="1:6" s="17" customFormat="1" x14ac:dyDescent="0.25">
      <c r="A31" s="17" t="s">
        <v>89</v>
      </c>
      <c r="B31" s="17" t="s">
        <v>173</v>
      </c>
      <c r="C31" s="17" t="s">
        <v>102</v>
      </c>
      <c r="D31" s="17" t="s">
        <v>174</v>
      </c>
      <c r="E31" s="17" t="s">
        <v>175</v>
      </c>
      <c r="F31" s="17" t="s">
        <v>176</v>
      </c>
    </row>
    <row r="32" spans="1:6" s="17" customFormat="1" x14ac:dyDescent="0.25">
      <c r="A32" s="17" t="s">
        <v>177</v>
      </c>
      <c r="B32" s="17" t="s">
        <v>178</v>
      </c>
      <c r="C32" s="17" t="s">
        <v>179</v>
      </c>
      <c r="D32" s="17" t="s">
        <v>180</v>
      </c>
      <c r="E32" s="17" t="s">
        <v>181</v>
      </c>
      <c r="F32" s="17" t="s">
        <v>182</v>
      </c>
    </row>
    <row r="33" spans="1:6" s="17" customFormat="1" x14ac:dyDescent="0.25">
      <c r="A33" s="17" t="s">
        <v>183</v>
      </c>
      <c r="B33" s="17" t="s">
        <v>184</v>
      </c>
      <c r="C33" s="17" t="s">
        <v>102</v>
      </c>
      <c r="D33" s="17" t="s">
        <v>185</v>
      </c>
      <c r="E33" s="17" t="s">
        <v>186</v>
      </c>
      <c r="F33" s="17" t="s">
        <v>187</v>
      </c>
    </row>
    <row r="34" spans="1:6" s="18" customFormat="1" x14ac:dyDescent="0.25">
      <c r="A34" s="18" t="s">
        <v>92</v>
      </c>
      <c r="B34" s="18" t="s">
        <v>188</v>
      </c>
      <c r="C34" s="18" t="s">
        <v>102</v>
      </c>
      <c r="D34" s="18" t="s">
        <v>189</v>
      </c>
      <c r="E34" s="18" t="s">
        <v>190</v>
      </c>
      <c r="F34" s="18" t="s">
        <v>191</v>
      </c>
    </row>
    <row r="35" spans="1:6" s="18" customFormat="1" x14ac:dyDescent="0.25">
      <c r="A35" s="18" t="s">
        <v>95</v>
      </c>
      <c r="B35" s="18" t="s">
        <v>96</v>
      </c>
      <c r="C35" s="18" t="s">
        <v>102</v>
      </c>
      <c r="D35" s="18" t="s">
        <v>192</v>
      </c>
      <c r="E35" s="18" t="s">
        <v>193</v>
      </c>
      <c r="F35" s="18" t="s">
        <v>12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Gruppe xmlns="86cedade-ebff-4b8d-b2a3-faad7f3c3397">
      <UserInfo>
        <DisplayName/>
        <AccountId xsi:nil="true"/>
        <AccountType/>
      </UserInfo>
    </Gruppe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4D2F48F15A9F42AB29E4A68231D9A4" ma:contentTypeVersion="15" ma:contentTypeDescription="Create a new document." ma:contentTypeScope="" ma:versionID="076da6730c833006e4daab9ba0d81abb">
  <xsd:schema xmlns:xsd="http://www.w3.org/2001/XMLSchema" xmlns:xs="http://www.w3.org/2001/XMLSchema" xmlns:p="http://schemas.microsoft.com/office/2006/metadata/properties" xmlns:ns1="http://schemas.microsoft.com/sharepoint/v3" xmlns:ns2="86cedade-ebff-4b8d-b2a3-faad7f3c3397" xmlns:ns3="916002f9-0322-485a-9445-426815c01027" targetNamespace="http://schemas.microsoft.com/office/2006/metadata/properties" ma:root="true" ma:fieldsID="df2694061866efa02c56035bac5f9ae1" ns1:_="" ns2:_="" ns3:_="">
    <xsd:import namespace="http://schemas.microsoft.com/sharepoint/v3"/>
    <xsd:import namespace="86cedade-ebff-4b8d-b2a3-faad7f3c3397"/>
    <xsd:import namespace="916002f9-0322-485a-9445-426815c0102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Gruppe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cedade-ebff-4b8d-b2a3-faad7f3c33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Gruppe" ma:index="16" nillable="true" ma:displayName="Gruppe" ma:list="UserInfo" ma:SearchPeopleOnly="false" ma:SharePointGroup="0" ma:internalName="Grupp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6002f9-0322-485a-9445-426815c01027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9148208-5156-4C33-85C9-29951EFE1D79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86cedade-ebff-4b8d-b2a3-faad7f3c3397"/>
  </ds:schemaRefs>
</ds:datastoreItem>
</file>

<file path=customXml/itemProps2.xml><?xml version="1.0" encoding="utf-8"?>
<ds:datastoreItem xmlns:ds="http://schemas.openxmlformats.org/officeDocument/2006/customXml" ds:itemID="{228D418B-3537-48EF-AEA6-E895A001D5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7DAAB66-D206-4C3A-B182-2B6D01BC2A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6cedade-ebff-4b8d-b2a3-faad7f3c3397"/>
    <ds:schemaRef ds:uri="916002f9-0322-485a-9445-426815c0102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Mail_Creator</vt:lpstr>
      <vt:lpstr>Sheet2</vt:lpstr>
    </vt:vector>
  </TitlesOfParts>
  <Manager/>
  <Company>Raiffeisen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Manuel Angelo TUCHESLAU</dc:creator>
  <cp:keywords/>
  <dc:description/>
  <cp:lastModifiedBy>Arber BAJRAKTARI</cp:lastModifiedBy>
  <cp:revision/>
  <dcterms:created xsi:type="dcterms:W3CDTF">2018-01-09T09:40:52Z</dcterms:created>
  <dcterms:modified xsi:type="dcterms:W3CDTF">2021-12-17T11:12:28Z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0x010100744D2F48F15A9F42AB29E4A68231D9A4</vt:lpwstr>
  </property>
  <property fmtid="{D5CDD505-2E9C-101B-9397-08002B2CF9AE}" pid="3" name="MSIP_Label_2a6524ed-fb1a-49fd-bafe-15c5e5ffd047_Enabled">
    <vt:lpwstr>true</vt:lpwstr>
  </property>
  <property fmtid="{D5CDD505-2E9C-101B-9397-08002B2CF9AE}" pid="4" name="MSIP_Label_2a6524ed-fb1a-49fd-bafe-15c5e5ffd047_SetDate">
    <vt:lpwstr>2020-12-21T06:37:09Z</vt:lpwstr>
  </property>
  <property fmtid="{D5CDD505-2E9C-101B-9397-08002B2CF9AE}" pid="5" name="MSIP_Label_2a6524ed-fb1a-49fd-bafe-15c5e5ffd047_Method">
    <vt:lpwstr>Privileged</vt:lpwstr>
  </property>
  <property fmtid="{D5CDD505-2E9C-101B-9397-08002B2CF9AE}" pid="6" name="MSIP_Label_2a6524ed-fb1a-49fd-bafe-15c5e5ffd047_Name">
    <vt:lpwstr>Internal</vt:lpwstr>
  </property>
  <property fmtid="{D5CDD505-2E9C-101B-9397-08002B2CF9AE}" pid="7" name="MSIP_Label_2a6524ed-fb1a-49fd-bafe-15c5e5ffd047_SiteId">
    <vt:lpwstr>9b511fda-f0b1-43a5-b06e-1e720f64520a</vt:lpwstr>
  </property>
  <property fmtid="{D5CDD505-2E9C-101B-9397-08002B2CF9AE}" pid="8" name="MSIP_Label_2a6524ed-fb1a-49fd-bafe-15c5e5ffd047_ActionId">
    <vt:lpwstr>f334564f-a247-486a-bd3e-5f26807c17cb</vt:lpwstr>
  </property>
  <property fmtid="{D5CDD505-2E9C-101B-9397-08002B2CF9AE}" pid="9" name="MSIP_Label_2a6524ed-fb1a-49fd-bafe-15c5e5ffd047_ContentBits">
    <vt:lpwstr>0</vt:lpwstr>
  </property>
</Properties>
</file>